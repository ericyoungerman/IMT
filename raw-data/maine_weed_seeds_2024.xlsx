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IMT/raw-data/"/>
    </mc:Choice>
  </mc:AlternateContent>
  <xr:revisionPtr revIDLastSave="0" documentId="13_ncr:1_{CA333BD4-9E85-AA41-94C1-19A16C1A80B2}" xr6:coauthVersionLast="47" xr6:coauthVersionMax="47" xr10:uidLastSave="{00000000-0000-0000-0000-000000000000}"/>
  <bookViews>
    <workbookView xWindow="22720" yWindow="-28140" windowWidth="27660" windowHeight="16940" xr2:uid="{D58D625C-0E17-004E-A3C6-C1D13F64F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6" i="1"/>
  <c r="J7" i="1"/>
  <c r="J8" i="1"/>
  <c r="J9" i="1"/>
  <c r="J10" i="1"/>
  <c r="J11" i="1"/>
  <c r="J12" i="1"/>
  <c r="J13" i="1"/>
  <c r="J5" i="1"/>
</calcChain>
</file>

<file path=xl/sharedStrings.xml><?xml version="1.0" encoding="utf-8"?>
<sst xmlns="http://schemas.openxmlformats.org/spreadsheetml/2006/main" count="386" uniqueCount="233">
  <si>
    <t>Total weed seed density (seeds/trap)</t>
  </si>
  <si>
    <t>weed species seed density (seeds/m-2</t>
  </si>
  <si>
    <t>Identification</t>
  </si>
  <si>
    <t>Sampling Date</t>
  </si>
  <si>
    <t>Invertebrates present (Y/N)?</t>
  </si>
  <si>
    <t>Invertebrate (S= slug, B= beetle, Sp= Spider, C= caterpillar)</t>
  </si>
  <si>
    <t>velvetleaf</t>
  </si>
  <si>
    <t>copperleaf, Virginia</t>
  </si>
  <si>
    <t>quackgrass</t>
  </si>
  <si>
    <t>pigweed spp.</t>
  </si>
  <si>
    <t>ragweed, common</t>
  </si>
  <si>
    <t>sandwort, thymeleaf</t>
  </si>
  <si>
    <t>brome, downy</t>
  </si>
  <si>
    <t>mustard, birdsrape</t>
  </si>
  <si>
    <t>shepherd's-purse</t>
  </si>
  <si>
    <t>chickweed, mouseear</t>
  </si>
  <si>
    <t>lambsquarters, common</t>
  </si>
  <si>
    <t>bindweed, field</t>
  </si>
  <si>
    <t>nutsedge, yellow</t>
  </si>
  <si>
    <t>orchardgrass</t>
  </si>
  <si>
    <t>crabgrass, smooth</t>
  </si>
  <si>
    <t>crabgrass, large</t>
  </si>
  <si>
    <t>barnyardgrass</t>
  </si>
  <si>
    <t>lovegrass, tufted</t>
  </si>
  <si>
    <t>horseweed</t>
  </si>
  <si>
    <t>galinsoga, hairy</t>
  </si>
  <si>
    <t>ivy, ground</t>
  </si>
  <si>
    <t>mallow, Venice</t>
  </si>
  <si>
    <t>St. Johnswort, common</t>
  </si>
  <si>
    <t>henbit</t>
  </si>
  <si>
    <t>deadnettle, purple</t>
  </si>
  <si>
    <t>common mallow</t>
  </si>
  <si>
    <t>medic, black</t>
  </si>
  <si>
    <t>campion, white</t>
  </si>
  <si>
    <t>woodsorrel, yellow</t>
  </si>
  <si>
    <t>witchgrass</t>
  </si>
  <si>
    <t>plantain, broadleaf</t>
  </si>
  <si>
    <t>bluegrass, annual</t>
  </si>
  <si>
    <t>knotweed, prostrate</t>
  </si>
  <si>
    <t>ladysthumb</t>
  </si>
  <si>
    <t>smartweed, Pennsylvania</t>
  </si>
  <si>
    <t>purslane, common</t>
  </si>
  <si>
    <t>dock, curly</t>
  </si>
  <si>
    <t>rye, cereal</t>
  </si>
  <si>
    <t>groundsel, common</t>
  </si>
  <si>
    <t>foxtail, giant</t>
  </si>
  <si>
    <t>foxtail, yellow</t>
  </si>
  <si>
    <t>foxtail, green</t>
  </si>
  <si>
    <t>nightshade, eastern black</t>
  </si>
  <si>
    <t>sowthistle, perennial</t>
  </si>
  <si>
    <t>sowthistle, annual</t>
  </si>
  <si>
    <t>chickweed, common</t>
  </si>
  <si>
    <t>dandelion</t>
  </si>
  <si>
    <t>pennycress, thoroughwort</t>
  </si>
  <si>
    <t>clover, crimson</t>
  </si>
  <si>
    <t>clover, red</t>
  </si>
  <si>
    <t>clover, white</t>
  </si>
  <si>
    <t>speedwell, Persian</t>
  </si>
  <si>
    <t>wild buckwheat</t>
  </si>
  <si>
    <t>Abutilon theophrasti Medik.</t>
  </si>
  <si>
    <t>Acalypha virginica L.</t>
  </si>
  <si>
    <t>Elymus repens (L.) Gould</t>
  </si>
  <si>
    <t>Amaranthus retroflexus L.; A. hybridus</t>
  </si>
  <si>
    <t>Ambrosia artemisiifolia L.</t>
  </si>
  <si>
    <t>Arenaria serpyllifolia L.</t>
  </si>
  <si>
    <t>Bromus tectorum L.</t>
  </si>
  <si>
    <t>Brassica rapa L.</t>
  </si>
  <si>
    <t>Capsella bursa-pastoris (L.) Medik.</t>
  </si>
  <si>
    <t>Cerastium fontanum Baumg. ssp. vulgare (Hartm.) Greuter &amp; Burdet</t>
  </si>
  <si>
    <t>Chenopodium album L.</t>
  </si>
  <si>
    <t>Convolvulus arvensis L</t>
  </si>
  <si>
    <t>Cyperus esculentus L.</t>
  </si>
  <si>
    <t>Dactylis glomerata L.</t>
  </si>
  <si>
    <t>Digitaria ischaemum (Schreb.) Schreb. ex Muhl.</t>
  </si>
  <si>
    <t>Digitaria sanguinalis (L.) Scop.</t>
  </si>
  <si>
    <t>Echinochloa crus-galli (L.) P. Beauv.</t>
  </si>
  <si>
    <t>Eragrostis pectinacea (Michx.) Nees ex Jedwabn.</t>
  </si>
  <si>
    <t>Erigeron canadensis L.</t>
  </si>
  <si>
    <t>Galinsoga quadriradiata Cav.</t>
  </si>
  <si>
    <t>Glechoma hederacea L.</t>
  </si>
  <si>
    <t>Hibiscus trionum L.</t>
  </si>
  <si>
    <t>Hypericum perforatum L.</t>
  </si>
  <si>
    <t>Lamium amplexicaule L.</t>
  </si>
  <si>
    <t>Lamium purpureum L.</t>
  </si>
  <si>
    <t>Malva neglecta Wallr.</t>
  </si>
  <si>
    <t>Medicago lupulina L.</t>
  </si>
  <si>
    <t>Silene latifolia Poir.</t>
  </si>
  <si>
    <t>Oxalis stricta L.</t>
  </si>
  <si>
    <t>Panicum capillare L.</t>
  </si>
  <si>
    <t>Plantago major L.</t>
  </si>
  <si>
    <t>Poa annua L.</t>
  </si>
  <si>
    <t>Polygonum aviculare L.</t>
  </si>
  <si>
    <t>Persicaria maculosa Gray</t>
  </si>
  <si>
    <t>Polygonum pensylvanicum L.</t>
  </si>
  <si>
    <t>Portulaca oleracea L.</t>
  </si>
  <si>
    <t>Rumex crispus L.</t>
  </si>
  <si>
    <t>Secale cereale L.</t>
  </si>
  <si>
    <t>Senecio vulgaris L.</t>
  </si>
  <si>
    <t>Setaria faberi Herrm.</t>
  </si>
  <si>
    <t>Setaria pumila (Poir.) Roem. &amp; Schult.</t>
  </si>
  <si>
    <t>Setaria viridis (L.) P. Beauv.</t>
  </si>
  <si>
    <t>Solanum ptychanthum Dunal</t>
  </si>
  <si>
    <t>Sonchus arvensis L.</t>
  </si>
  <si>
    <t>Sonchus oleraceus L.</t>
  </si>
  <si>
    <t>Stellaria media (L.) Vill.</t>
  </si>
  <si>
    <t>Taraxacum officinale F. H. Wigg.</t>
  </si>
  <si>
    <t>Noccaea perfoliata (L.) Al-Shehbaz</t>
  </si>
  <si>
    <t>Trifolium incarnatum L.</t>
  </si>
  <si>
    <t>Trifolium pratense L.</t>
  </si>
  <si>
    <t>Trifolium repens L.</t>
  </si>
  <si>
    <t>Veronica persica Poir.</t>
  </si>
  <si>
    <t>sample_id</t>
  </si>
  <si>
    <t>location</t>
  </si>
  <si>
    <t>treatment</t>
  </si>
  <si>
    <t>block</t>
  </si>
  <si>
    <t>plot</t>
  </si>
  <si>
    <t>Sampling Week</t>
  </si>
  <si>
    <t>Date</t>
  </si>
  <si>
    <t>ABUTH</t>
  </si>
  <si>
    <t>ACCVI</t>
  </si>
  <si>
    <t>AGRRE</t>
  </si>
  <si>
    <t>AMA spp</t>
  </si>
  <si>
    <t>AMBEL</t>
  </si>
  <si>
    <t>ARISE</t>
  </si>
  <si>
    <t>BROTE</t>
  </si>
  <si>
    <t>BRSRR</t>
  </si>
  <si>
    <t>CAPBP</t>
  </si>
  <si>
    <t>CERVU</t>
  </si>
  <si>
    <t>CHEAL</t>
  </si>
  <si>
    <t>CONAR</t>
  </si>
  <si>
    <t>CYPES</t>
  </si>
  <si>
    <t>DACGL</t>
  </si>
  <si>
    <t>DIGIS</t>
  </si>
  <si>
    <t>DIGSA</t>
  </si>
  <si>
    <t>ECHCG</t>
  </si>
  <si>
    <t>ERAPE</t>
  </si>
  <si>
    <t>ERICA</t>
  </si>
  <si>
    <t>GASCI</t>
  </si>
  <si>
    <t>GLEHE</t>
  </si>
  <si>
    <t>HIBTR</t>
  </si>
  <si>
    <t>HYPPE</t>
  </si>
  <si>
    <t>LAMAM</t>
  </si>
  <si>
    <t>LAMPU</t>
  </si>
  <si>
    <t>MALNE</t>
  </si>
  <si>
    <t>MEDLU</t>
  </si>
  <si>
    <t>MELAL</t>
  </si>
  <si>
    <t>OXAST</t>
  </si>
  <si>
    <t>PANCA</t>
  </si>
  <si>
    <t>PLAMA</t>
  </si>
  <si>
    <t>POAAN</t>
  </si>
  <si>
    <t>POLAV</t>
  </si>
  <si>
    <t>POLPE</t>
  </si>
  <si>
    <t>POLPY</t>
  </si>
  <si>
    <t>POROL</t>
  </si>
  <si>
    <t>RUMCR</t>
  </si>
  <si>
    <t>SECCE</t>
  </si>
  <si>
    <t>SENVU</t>
  </si>
  <si>
    <t>SETFA</t>
  </si>
  <si>
    <t>SETPU</t>
  </si>
  <si>
    <t>SETVI</t>
  </si>
  <si>
    <t>SOPT7</t>
  </si>
  <si>
    <t>SONAR</t>
  </si>
  <si>
    <t>SONOL</t>
  </si>
  <si>
    <t>STEME</t>
  </si>
  <si>
    <t>TAROF</t>
  </si>
  <si>
    <t>THLPE</t>
  </si>
  <si>
    <t>TRFIN</t>
  </si>
  <si>
    <t>TRFPR</t>
  </si>
  <si>
    <t>TRFRE</t>
  </si>
  <si>
    <t>VERPE</t>
  </si>
  <si>
    <t>y</t>
  </si>
  <si>
    <t>n</t>
  </si>
  <si>
    <t>ME_B1_P101_A</t>
  </si>
  <si>
    <t>ME_B1_P101_B</t>
  </si>
  <si>
    <t>ME_B1_P101_C</t>
  </si>
  <si>
    <t>ME_B1_P102_A</t>
  </si>
  <si>
    <t>ME_B1_P102_B</t>
  </si>
  <si>
    <t>ME_B1_P102_C</t>
  </si>
  <si>
    <t>ME_B1_P103_A</t>
  </si>
  <si>
    <t>ME_B1_P103_B</t>
  </si>
  <si>
    <t>ME_B1_P103_C</t>
  </si>
  <si>
    <t>ME_B1_P104_A</t>
  </si>
  <si>
    <t>ME_B1_P104_B</t>
  </si>
  <si>
    <t>ME_B1_P104_C</t>
  </si>
  <si>
    <t>ME_B2_P201_A</t>
  </si>
  <si>
    <t>ME_B2_P201_B</t>
  </si>
  <si>
    <t>ME_B2_P201_C</t>
  </si>
  <si>
    <t>ME_B2_P202_A</t>
  </si>
  <si>
    <t>ME_B2_P202_B</t>
  </si>
  <si>
    <t>ME_B2_P202_C</t>
  </si>
  <si>
    <t>ME_B2_P203_A</t>
  </si>
  <si>
    <t>ME_B2_P203_B</t>
  </si>
  <si>
    <t>ME_B2_P203_C</t>
  </si>
  <si>
    <t>ME_B2_P204_A</t>
  </si>
  <si>
    <t>ME_B2_P204_B</t>
  </si>
  <si>
    <t>ME_B2_P204_C</t>
  </si>
  <si>
    <t>ME_B3_P301_A</t>
  </si>
  <si>
    <t>ME_B3_P301_B</t>
  </si>
  <si>
    <t>ME_B3_P301_C</t>
  </si>
  <si>
    <t>ME_B3_P302_A</t>
  </si>
  <si>
    <t>ME_B3_P302_B</t>
  </si>
  <si>
    <t>ME_B3_P302_C</t>
  </si>
  <si>
    <t>ME_B3_P303_A</t>
  </si>
  <si>
    <t>ME_B3_P303_B</t>
  </si>
  <si>
    <t>ME_B3_P303_C</t>
  </si>
  <si>
    <t>ME_B3_P304_A</t>
  </si>
  <si>
    <t>ME_B3_P304_B</t>
  </si>
  <si>
    <t>ME_B3_P304_C</t>
  </si>
  <si>
    <t>ME_B4_P401_A</t>
  </si>
  <si>
    <t>ME_B4_P401_B</t>
  </si>
  <si>
    <t>ME_B4_P401_C</t>
  </si>
  <si>
    <t>ME_B4_P402_A</t>
  </si>
  <si>
    <t>ME_B4_P402_B</t>
  </si>
  <si>
    <t>ME_B4_P402_C</t>
  </si>
  <si>
    <t>ME_B4_P403_A</t>
  </si>
  <si>
    <t>ME_B4_P403_B</t>
  </si>
  <si>
    <t>ME_B4_P403_C</t>
  </si>
  <si>
    <t>ME_B4_P404_A</t>
  </si>
  <si>
    <t>ME_B4_P404_B</t>
  </si>
  <si>
    <t>ME_B4_P404_C</t>
  </si>
  <si>
    <t>ME</t>
  </si>
  <si>
    <t>x</t>
  </si>
  <si>
    <t>b, sp</t>
  </si>
  <si>
    <t xml:space="preserve">b </t>
  </si>
  <si>
    <t>b</t>
  </si>
  <si>
    <t>b, sl</t>
  </si>
  <si>
    <t>sl</t>
  </si>
  <si>
    <t>sp</t>
  </si>
  <si>
    <t>sl,b</t>
  </si>
  <si>
    <t>LWC</t>
  </si>
  <si>
    <t>EWC</t>
  </si>
  <si>
    <t>AWC</t>
  </si>
  <si>
    <t>NWC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</si>
</sst>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3F14-0C67-B842-BF91-E3051440A46D}">
  <dimension ref="A1:BK52"/>
  <sheetViews>
    <sheetView tabSelected="1" zoomScale="80" zoomScaleNormal="80" workbookViewId="0">
      <selection activeCell="L23" sqref="L23"/>
    </sheetView>
  </sheetViews>
  <sheetFormatPr baseColWidth="10" defaultRowHeight="16" x14ac:dyDescent="0.2"/>
  <cols>
    <col min="1" max="1" width="15" bestFit="1" customWidth="1"/>
    <col min="6" max="6" width="14.5" bestFit="1" customWidth="1"/>
  </cols>
  <sheetData>
    <row r="1" spans="1:63" x14ac:dyDescent="0.2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K1" s="2" t="s">
        <v>1</v>
      </c>
    </row>
    <row r="2" spans="1:63" ht="102" x14ac:dyDescent="0.2">
      <c r="A2" s="1"/>
      <c r="B2" s="1"/>
      <c r="C2" s="2" t="s">
        <v>2</v>
      </c>
      <c r="D2" s="1"/>
      <c r="E2" s="1"/>
      <c r="F2" s="1"/>
      <c r="G2" s="2" t="s">
        <v>3</v>
      </c>
      <c r="H2" s="3" t="s">
        <v>4</v>
      </c>
      <c r="I2" s="3" t="s">
        <v>5</v>
      </c>
      <c r="J2" s="4" t="s">
        <v>0</v>
      </c>
      <c r="K2" s="5" t="s">
        <v>6</v>
      </c>
      <c r="L2" s="5" t="s">
        <v>7</v>
      </c>
      <c r="M2" s="5" t="s">
        <v>8</v>
      </c>
      <c r="N2" s="5" t="s">
        <v>9</v>
      </c>
      <c r="O2" s="2" t="s">
        <v>10</v>
      </c>
      <c r="P2" s="5" t="s">
        <v>11</v>
      </c>
      <c r="Q2" s="5" t="s">
        <v>12</v>
      </c>
      <c r="R2" s="5" t="s">
        <v>13</v>
      </c>
      <c r="S2" s="2" t="s">
        <v>14</v>
      </c>
      <c r="T2" s="5" t="s">
        <v>15</v>
      </c>
      <c r="U2" s="2" t="s">
        <v>16</v>
      </c>
      <c r="V2" s="2" t="s">
        <v>17</v>
      </c>
      <c r="W2" s="2" t="s">
        <v>18</v>
      </c>
      <c r="X2" s="5" t="s">
        <v>19</v>
      </c>
      <c r="Y2" s="2" t="s">
        <v>20</v>
      </c>
      <c r="Z2" s="5" t="s">
        <v>21</v>
      </c>
      <c r="AA2" s="5" t="s">
        <v>22</v>
      </c>
      <c r="AB2" s="2" t="s">
        <v>23</v>
      </c>
      <c r="AC2" s="5" t="s">
        <v>24</v>
      </c>
      <c r="AD2" s="5" t="s">
        <v>25</v>
      </c>
      <c r="AE2" s="5" t="s">
        <v>26</v>
      </c>
      <c r="AF2" s="5" t="s">
        <v>27</v>
      </c>
      <c r="AG2" s="5" t="s">
        <v>28</v>
      </c>
      <c r="AH2" s="5" t="s">
        <v>29</v>
      </c>
      <c r="AI2" s="5" t="s">
        <v>30</v>
      </c>
      <c r="AJ2" s="5" t="s">
        <v>31</v>
      </c>
      <c r="AK2" s="5" t="s">
        <v>32</v>
      </c>
      <c r="AL2" s="5" t="s">
        <v>33</v>
      </c>
      <c r="AM2" s="2" t="s">
        <v>34</v>
      </c>
      <c r="AN2" s="5" t="s">
        <v>35</v>
      </c>
      <c r="AO2" s="2" t="s">
        <v>36</v>
      </c>
      <c r="AP2" s="5" t="s">
        <v>37</v>
      </c>
      <c r="AQ2" s="2" t="s">
        <v>38</v>
      </c>
      <c r="AR2" s="5" t="s">
        <v>39</v>
      </c>
      <c r="AS2" s="5" t="s">
        <v>40</v>
      </c>
      <c r="AT2" s="5" t="s">
        <v>41</v>
      </c>
      <c r="AU2" s="2" t="s">
        <v>42</v>
      </c>
      <c r="AV2" s="5" t="s">
        <v>43</v>
      </c>
      <c r="AW2" s="5" t="s">
        <v>44</v>
      </c>
      <c r="AX2" s="5" t="s">
        <v>45</v>
      </c>
      <c r="AY2" s="5" t="s">
        <v>46</v>
      </c>
      <c r="AZ2" s="2" t="s">
        <v>47</v>
      </c>
      <c r="BA2" s="5" t="s">
        <v>48</v>
      </c>
      <c r="BB2" s="2" t="s">
        <v>49</v>
      </c>
      <c r="BC2" s="5" t="s">
        <v>50</v>
      </c>
      <c r="BD2" s="5" t="s">
        <v>51</v>
      </c>
      <c r="BE2" s="5" t="s">
        <v>52</v>
      </c>
      <c r="BF2" s="5" t="s">
        <v>53</v>
      </c>
      <c r="BG2" s="5" t="s">
        <v>54</v>
      </c>
      <c r="BH2" s="5" t="s">
        <v>55</v>
      </c>
      <c r="BI2" s="5" t="s">
        <v>56</v>
      </c>
      <c r="BJ2" s="2" t="s">
        <v>57</v>
      </c>
      <c r="BK2" t="s">
        <v>58</v>
      </c>
    </row>
    <row r="3" spans="1:63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5" t="s">
        <v>59</v>
      </c>
      <c r="L3" s="5" t="s">
        <v>60</v>
      </c>
      <c r="M3" s="5" t="s">
        <v>61</v>
      </c>
      <c r="N3" s="5" t="s">
        <v>62</v>
      </c>
      <c r="O3" s="5" t="s">
        <v>63</v>
      </c>
      <c r="P3" s="5" t="s">
        <v>64</v>
      </c>
      <c r="Q3" s="5" t="s">
        <v>65</v>
      </c>
      <c r="R3" s="5" t="s">
        <v>66</v>
      </c>
      <c r="S3" s="5" t="s">
        <v>67</v>
      </c>
      <c r="T3" s="5" t="s">
        <v>68</v>
      </c>
      <c r="U3" s="5" t="s">
        <v>69</v>
      </c>
      <c r="V3" s="2" t="s">
        <v>70</v>
      </c>
      <c r="W3" s="5" t="s">
        <v>71</v>
      </c>
      <c r="X3" s="5" t="s">
        <v>72</v>
      </c>
      <c r="Y3" s="5" t="s">
        <v>73</v>
      </c>
      <c r="Z3" s="5" t="s">
        <v>74</v>
      </c>
      <c r="AA3" s="5" t="s">
        <v>75</v>
      </c>
      <c r="AB3" s="5" t="s">
        <v>76</v>
      </c>
      <c r="AC3" s="5" t="s">
        <v>77</v>
      </c>
      <c r="AD3" s="5" t="s">
        <v>78</v>
      </c>
      <c r="AE3" s="5" t="s">
        <v>79</v>
      </c>
      <c r="AF3" s="5" t="s">
        <v>80</v>
      </c>
      <c r="AG3" s="5" t="s">
        <v>81</v>
      </c>
      <c r="AH3" s="5" t="s">
        <v>82</v>
      </c>
      <c r="AI3" s="5" t="s">
        <v>83</v>
      </c>
      <c r="AJ3" s="5" t="s">
        <v>84</v>
      </c>
      <c r="AK3" s="5" t="s">
        <v>85</v>
      </c>
      <c r="AL3" s="5" t="s">
        <v>86</v>
      </c>
      <c r="AM3" s="5" t="s">
        <v>87</v>
      </c>
      <c r="AN3" s="5" t="s">
        <v>88</v>
      </c>
      <c r="AO3" s="5" t="s">
        <v>89</v>
      </c>
      <c r="AP3" s="5" t="s">
        <v>90</v>
      </c>
      <c r="AQ3" s="5" t="s">
        <v>91</v>
      </c>
      <c r="AR3" s="5" t="s">
        <v>92</v>
      </c>
      <c r="AS3" s="5" t="s">
        <v>93</v>
      </c>
      <c r="AT3" s="5" t="s">
        <v>94</v>
      </c>
      <c r="AU3" s="5" t="s">
        <v>95</v>
      </c>
      <c r="AV3" s="5" t="s">
        <v>96</v>
      </c>
      <c r="AW3" s="5" t="s">
        <v>97</v>
      </c>
      <c r="AX3" s="5" t="s">
        <v>98</v>
      </c>
      <c r="AY3" s="5" t="s">
        <v>99</v>
      </c>
      <c r="AZ3" s="5" t="s">
        <v>100</v>
      </c>
      <c r="BA3" s="5" t="s">
        <v>101</v>
      </c>
      <c r="BB3" s="5" t="s">
        <v>102</v>
      </c>
      <c r="BC3" s="5" t="s">
        <v>103</v>
      </c>
      <c r="BD3" s="5" t="s">
        <v>104</v>
      </c>
      <c r="BE3" s="5" t="s">
        <v>105</v>
      </c>
      <c r="BF3" s="5" t="s">
        <v>106</v>
      </c>
      <c r="BG3" s="5" t="s">
        <v>107</v>
      </c>
      <c r="BH3" s="5" t="s">
        <v>108</v>
      </c>
      <c r="BI3" s="5" t="s">
        <v>109</v>
      </c>
      <c r="BJ3" s="5" t="s">
        <v>110</v>
      </c>
    </row>
    <row r="4" spans="1:63" x14ac:dyDescent="0.2">
      <c r="A4" s="2" t="s">
        <v>111</v>
      </c>
      <c r="B4" s="2" t="s">
        <v>112</v>
      </c>
      <c r="C4" s="2" t="s">
        <v>113</v>
      </c>
      <c r="D4" s="2" t="s">
        <v>114</v>
      </c>
      <c r="E4" s="2" t="s">
        <v>115</v>
      </c>
      <c r="F4" s="2" t="s">
        <v>116</v>
      </c>
      <c r="G4" s="2" t="s">
        <v>117</v>
      </c>
      <c r="H4" s="1"/>
      <c r="I4" s="1"/>
      <c r="J4" s="1"/>
      <c r="K4" s="2" t="s">
        <v>118</v>
      </c>
      <c r="L4" s="2" t="s">
        <v>119</v>
      </c>
      <c r="M4" s="2" t="s">
        <v>120</v>
      </c>
      <c r="N4" s="2" t="s">
        <v>121</v>
      </c>
      <c r="O4" s="2" t="s">
        <v>122</v>
      </c>
      <c r="P4" s="2" t="s">
        <v>123</v>
      </c>
      <c r="Q4" s="2" t="s">
        <v>124</v>
      </c>
      <c r="R4" s="2" t="s">
        <v>125</v>
      </c>
      <c r="S4" s="2" t="s">
        <v>126</v>
      </c>
      <c r="T4" s="2" t="s">
        <v>127</v>
      </c>
      <c r="U4" s="2" t="s">
        <v>128</v>
      </c>
      <c r="V4" s="2" t="s">
        <v>129</v>
      </c>
      <c r="W4" s="2" t="s">
        <v>130</v>
      </c>
      <c r="X4" s="2" t="s">
        <v>131</v>
      </c>
      <c r="Y4" s="2" t="s">
        <v>132</v>
      </c>
      <c r="Z4" s="2" t="s">
        <v>133</v>
      </c>
      <c r="AA4" s="2" t="s">
        <v>134</v>
      </c>
      <c r="AB4" s="2" t="s">
        <v>135</v>
      </c>
      <c r="AC4" s="2" t="s">
        <v>136</v>
      </c>
      <c r="AD4" s="2" t="s">
        <v>137</v>
      </c>
      <c r="AE4" s="2" t="s">
        <v>138</v>
      </c>
      <c r="AF4" s="2" t="s">
        <v>139</v>
      </c>
      <c r="AG4" s="2" t="s">
        <v>140</v>
      </c>
      <c r="AH4" s="2" t="s">
        <v>141</v>
      </c>
      <c r="AI4" s="2" t="s">
        <v>142</v>
      </c>
      <c r="AJ4" s="2" t="s">
        <v>143</v>
      </c>
      <c r="AK4" s="2" t="s">
        <v>144</v>
      </c>
      <c r="AL4" s="2" t="s">
        <v>145</v>
      </c>
      <c r="AM4" s="2" t="s">
        <v>146</v>
      </c>
      <c r="AN4" s="2" t="s">
        <v>147</v>
      </c>
      <c r="AO4" s="2" t="s">
        <v>148</v>
      </c>
      <c r="AP4" s="2" t="s">
        <v>149</v>
      </c>
      <c r="AQ4" s="2" t="s">
        <v>150</v>
      </c>
      <c r="AR4" s="2" t="s">
        <v>151</v>
      </c>
      <c r="AS4" s="2" t="s">
        <v>152</v>
      </c>
      <c r="AT4" s="2" t="s">
        <v>153</v>
      </c>
      <c r="AU4" s="2" t="s">
        <v>154</v>
      </c>
      <c r="AV4" s="2" t="s">
        <v>155</v>
      </c>
      <c r="AW4" s="2" t="s">
        <v>156</v>
      </c>
      <c r="AX4" s="2" t="s">
        <v>157</v>
      </c>
      <c r="AY4" s="2" t="s">
        <v>158</v>
      </c>
      <c r="AZ4" s="2" t="s">
        <v>159</v>
      </c>
      <c r="BA4" s="2" t="s">
        <v>160</v>
      </c>
      <c r="BB4" s="2" t="s">
        <v>161</v>
      </c>
      <c r="BC4" s="2" t="s">
        <v>162</v>
      </c>
      <c r="BD4" s="2" t="s">
        <v>163</v>
      </c>
      <c r="BE4" s="2" t="s">
        <v>164</v>
      </c>
      <c r="BF4" s="2" t="s">
        <v>165</v>
      </c>
      <c r="BG4" s="2" t="s">
        <v>166</v>
      </c>
      <c r="BH4" s="2" t="s">
        <v>167</v>
      </c>
      <c r="BI4" s="2" t="s">
        <v>168</v>
      </c>
      <c r="BJ4" s="2" t="s">
        <v>169</v>
      </c>
    </row>
    <row r="5" spans="1:63" x14ac:dyDescent="0.2">
      <c r="A5" s="2" t="s">
        <v>172</v>
      </c>
      <c r="B5" s="2" t="s">
        <v>220</v>
      </c>
      <c r="C5" t="s">
        <v>229</v>
      </c>
      <c r="D5" s="2">
        <v>1</v>
      </c>
      <c r="E5" s="2">
        <v>101</v>
      </c>
      <c r="F5" s="2">
        <v>1</v>
      </c>
      <c r="G5" s="6"/>
      <c r="H5" t="s">
        <v>171</v>
      </c>
      <c r="J5">
        <f>SUM(K5:BJ5)</f>
        <v>1</v>
      </c>
      <c r="N5">
        <v>1</v>
      </c>
    </row>
    <row r="6" spans="1:63" x14ac:dyDescent="0.2">
      <c r="A6" s="2" t="s">
        <v>173</v>
      </c>
      <c r="B6" s="2" t="s">
        <v>220</v>
      </c>
      <c r="C6" t="s">
        <v>229</v>
      </c>
      <c r="D6" s="2">
        <v>1</v>
      </c>
      <c r="E6" s="2">
        <v>101</v>
      </c>
      <c r="F6" s="2">
        <v>1</v>
      </c>
      <c r="G6" s="6"/>
      <c r="H6" t="s">
        <v>171</v>
      </c>
      <c r="J6">
        <f t="shared" ref="J6:J52" si="0">SUM(K6:BJ6)</f>
        <v>0</v>
      </c>
    </row>
    <row r="7" spans="1:63" x14ac:dyDescent="0.2">
      <c r="A7" s="2" t="s">
        <v>174</v>
      </c>
      <c r="B7" s="2" t="s">
        <v>220</v>
      </c>
      <c r="C7" t="s">
        <v>229</v>
      </c>
      <c r="D7" s="2">
        <v>1</v>
      </c>
      <c r="E7" s="2">
        <v>101</v>
      </c>
      <c r="F7" s="2">
        <v>1</v>
      </c>
      <c r="G7" s="6"/>
      <c r="H7" t="s">
        <v>171</v>
      </c>
      <c r="J7">
        <f t="shared" si="0"/>
        <v>11</v>
      </c>
      <c r="T7">
        <v>9</v>
      </c>
      <c r="Z7">
        <v>2</v>
      </c>
    </row>
    <row r="8" spans="1:63" x14ac:dyDescent="0.2">
      <c r="A8" s="2" t="s">
        <v>175</v>
      </c>
      <c r="B8" s="2" t="s">
        <v>220</v>
      </c>
      <c r="C8" t="s">
        <v>230</v>
      </c>
      <c r="D8" s="2">
        <v>1</v>
      </c>
      <c r="E8" s="2">
        <v>102</v>
      </c>
      <c r="F8" s="2">
        <v>1</v>
      </c>
      <c r="G8" s="6"/>
      <c r="H8" t="s">
        <v>171</v>
      </c>
      <c r="J8">
        <f t="shared" si="0"/>
        <v>10</v>
      </c>
      <c r="Z8">
        <v>4</v>
      </c>
      <c r="AD8">
        <v>6</v>
      </c>
    </row>
    <row r="9" spans="1:63" x14ac:dyDescent="0.2">
      <c r="A9" s="2" t="s">
        <v>176</v>
      </c>
      <c r="B9" s="2" t="s">
        <v>220</v>
      </c>
      <c r="C9" t="s">
        <v>230</v>
      </c>
      <c r="D9" s="2">
        <v>1</v>
      </c>
      <c r="E9" s="2">
        <v>102</v>
      </c>
      <c r="F9" s="2">
        <v>1</v>
      </c>
      <c r="G9" s="6"/>
      <c r="H9" t="s">
        <v>171</v>
      </c>
      <c r="J9">
        <f t="shared" si="0"/>
        <v>6</v>
      </c>
      <c r="T9">
        <v>1</v>
      </c>
      <c r="Z9">
        <v>3</v>
      </c>
      <c r="AD9">
        <v>2</v>
      </c>
    </row>
    <row r="10" spans="1:63" x14ac:dyDescent="0.2">
      <c r="A10" s="2" t="s">
        <v>177</v>
      </c>
      <c r="B10" s="2" t="s">
        <v>220</v>
      </c>
      <c r="C10" t="s">
        <v>230</v>
      </c>
      <c r="D10" s="2">
        <v>1</v>
      </c>
      <c r="E10" s="2">
        <v>102</v>
      </c>
      <c r="F10" s="2">
        <v>1</v>
      </c>
      <c r="G10" s="6"/>
      <c r="H10" t="s">
        <v>170</v>
      </c>
      <c r="I10" t="s">
        <v>222</v>
      </c>
      <c r="J10">
        <f t="shared" si="0"/>
        <v>0</v>
      </c>
    </row>
    <row r="11" spans="1:63" x14ac:dyDescent="0.2">
      <c r="A11" s="2" t="s">
        <v>178</v>
      </c>
      <c r="B11" s="2" t="s">
        <v>220</v>
      </c>
      <c r="C11" t="s">
        <v>231</v>
      </c>
      <c r="D11" s="2">
        <v>1</v>
      </c>
      <c r="E11" s="2">
        <v>103</v>
      </c>
      <c r="F11" s="2">
        <v>1</v>
      </c>
      <c r="G11" s="6"/>
      <c r="H11" t="s">
        <v>170</v>
      </c>
      <c r="I11" t="s">
        <v>223</v>
      </c>
      <c r="J11">
        <f t="shared" si="0"/>
        <v>10</v>
      </c>
      <c r="Z11">
        <v>10</v>
      </c>
    </row>
    <row r="12" spans="1:63" x14ac:dyDescent="0.2">
      <c r="A12" s="2" t="s">
        <v>179</v>
      </c>
      <c r="B12" s="2" t="s">
        <v>220</v>
      </c>
      <c r="C12" t="s">
        <v>231</v>
      </c>
      <c r="D12" s="2">
        <v>1</v>
      </c>
      <c r="E12" s="2">
        <v>103</v>
      </c>
      <c r="F12" s="2">
        <v>1</v>
      </c>
      <c r="G12" s="6"/>
      <c r="H12" t="s">
        <v>171</v>
      </c>
      <c r="J12">
        <f t="shared" si="0"/>
        <v>7</v>
      </c>
      <c r="N12">
        <v>1</v>
      </c>
      <c r="Z12">
        <v>4</v>
      </c>
      <c r="AD12">
        <v>2</v>
      </c>
    </row>
    <row r="13" spans="1:63" x14ac:dyDescent="0.2">
      <c r="A13" s="2" t="s">
        <v>180</v>
      </c>
      <c r="B13" s="2" t="s">
        <v>220</v>
      </c>
      <c r="C13" t="s">
        <v>231</v>
      </c>
      <c r="D13" s="2">
        <v>1</v>
      </c>
      <c r="E13" s="2">
        <v>103</v>
      </c>
      <c r="F13" s="2">
        <v>1</v>
      </c>
      <c r="G13" s="6"/>
      <c r="H13" t="s">
        <v>170</v>
      </c>
      <c r="I13" t="s">
        <v>224</v>
      </c>
      <c r="J13">
        <f t="shared" si="0"/>
        <v>1</v>
      </c>
      <c r="AD13">
        <v>1</v>
      </c>
    </row>
    <row r="14" spans="1:63" x14ac:dyDescent="0.2">
      <c r="A14" s="2" t="s">
        <v>181</v>
      </c>
      <c r="B14" s="2" t="s">
        <v>220</v>
      </c>
      <c r="C14" t="s">
        <v>232</v>
      </c>
      <c r="D14" s="2">
        <v>1</v>
      </c>
      <c r="E14" s="2">
        <v>104</v>
      </c>
      <c r="F14" s="2">
        <v>1</v>
      </c>
      <c r="G14" s="6"/>
      <c r="H14" t="s">
        <v>171</v>
      </c>
      <c r="J14">
        <f t="shared" si="0"/>
        <v>14</v>
      </c>
      <c r="N14">
        <v>4</v>
      </c>
      <c r="Z14">
        <v>1</v>
      </c>
      <c r="AL14">
        <v>9</v>
      </c>
    </row>
    <row r="15" spans="1:63" x14ac:dyDescent="0.2">
      <c r="A15" s="2" t="s">
        <v>182</v>
      </c>
      <c r="B15" s="2" t="s">
        <v>220</v>
      </c>
      <c r="C15" t="s">
        <v>232</v>
      </c>
      <c r="D15" s="2">
        <v>1</v>
      </c>
      <c r="E15" s="2">
        <v>104</v>
      </c>
      <c r="F15" s="2">
        <v>1</v>
      </c>
      <c r="G15" s="6"/>
      <c r="H15" t="s">
        <v>171</v>
      </c>
      <c r="J15">
        <f t="shared" si="0"/>
        <v>1</v>
      </c>
      <c r="AD15">
        <v>1</v>
      </c>
    </row>
    <row r="16" spans="1:63" x14ac:dyDescent="0.2">
      <c r="A16" s="2" t="s">
        <v>183</v>
      </c>
      <c r="B16" s="2" t="s">
        <v>220</v>
      </c>
      <c r="C16" t="s">
        <v>232</v>
      </c>
      <c r="D16" s="2">
        <v>1</v>
      </c>
      <c r="E16" s="2">
        <v>104</v>
      </c>
      <c r="F16" s="2">
        <v>1</v>
      </c>
      <c r="G16" s="6"/>
      <c r="H16" t="s">
        <v>170</v>
      </c>
      <c r="I16" t="s">
        <v>224</v>
      </c>
      <c r="J16">
        <f t="shared" si="0"/>
        <v>30</v>
      </c>
      <c r="Z16">
        <v>1</v>
      </c>
      <c r="AD16">
        <v>28</v>
      </c>
      <c r="BD16">
        <v>1</v>
      </c>
    </row>
    <row r="17" spans="1:50" x14ac:dyDescent="0.2">
      <c r="A17" s="2" t="s">
        <v>184</v>
      </c>
      <c r="B17" s="2" t="s">
        <v>220</v>
      </c>
      <c r="C17" t="s">
        <v>231</v>
      </c>
      <c r="D17" s="2">
        <v>2</v>
      </c>
      <c r="E17" s="2">
        <v>201</v>
      </c>
      <c r="F17" s="2">
        <v>1</v>
      </c>
      <c r="G17" s="6"/>
      <c r="H17" t="s">
        <v>170</v>
      </c>
      <c r="I17" t="s">
        <v>224</v>
      </c>
      <c r="J17">
        <f t="shared" si="0"/>
        <v>6</v>
      </c>
      <c r="Y17">
        <v>4</v>
      </c>
      <c r="AD17">
        <v>2</v>
      </c>
    </row>
    <row r="18" spans="1:50" x14ac:dyDescent="0.2">
      <c r="A18" s="2" t="s">
        <v>185</v>
      </c>
      <c r="B18" s="2" t="s">
        <v>220</v>
      </c>
      <c r="C18" t="s">
        <v>231</v>
      </c>
      <c r="D18" s="2">
        <v>2</v>
      </c>
      <c r="E18" s="2">
        <v>201</v>
      </c>
      <c r="F18" s="2">
        <v>1</v>
      </c>
      <c r="G18" s="6"/>
      <c r="H18" t="s">
        <v>170</v>
      </c>
      <c r="I18" t="s">
        <v>224</v>
      </c>
      <c r="J18">
        <f t="shared" si="0"/>
        <v>11</v>
      </c>
      <c r="AD18">
        <v>11</v>
      </c>
    </row>
    <row r="19" spans="1:50" x14ac:dyDescent="0.2">
      <c r="A19" s="2" t="s">
        <v>186</v>
      </c>
      <c r="B19" s="2" t="s">
        <v>220</v>
      </c>
      <c r="C19" t="s">
        <v>231</v>
      </c>
      <c r="D19" s="2">
        <v>2</v>
      </c>
      <c r="E19" s="2">
        <v>201</v>
      </c>
      <c r="F19" s="2">
        <v>1</v>
      </c>
      <c r="G19" s="6"/>
      <c r="H19" t="s">
        <v>171</v>
      </c>
      <c r="J19">
        <f t="shared" si="0"/>
        <v>1</v>
      </c>
      <c r="AD19">
        <v>1</v>
      </c>
    </row>
    <row r="20" spans="1:50" x14ac:dyDescent="0.2">
      <c r="A20" s="2" t="s">
        <v>187</v>
      </c>
      <c r="B20" s="2" t="s">
        <v>220</v>
      </c>
      <c r="C20" t="s">
        <v>230</v>
      </c>
      <c r="D20" s="2">
        <v>2</v>
      </c>
      <c r="E20" s="2">
        <v>202</v>
      </c>
      <c r="F20" s="2">
        <v>1</v>
      </c>
      <c r="G20" s="6"/>
      <c r="H20" t="s">
        <v>171</v>
      </c>
      <c r="J20">
        <f t="shared" si="0"/>
        <v>50</v>
      </c>
      <c r="Z20">
        <v>9</v>
      </c>
      <c r="AD20">
        <v>41</v>
      </c>
    </row>
    <row r="21" spans="1:50" x14ac:dyDescent="0.2">
      <c r="A21" s="2" t="s">
        <v>188</v>
      </c>
      <c r="B21" s="2" t="s">
        <v>220</v>
      </c>
      <c r="C21" t="s">
        <v>230</v>
      </c>
      <c r="D21" s="2">
        <v>2</v>
      </c>
      <c r="E21" s="2">
        <v>202</v>
      </c>
      <c r="F21" s="2">
        <v>1</v>
      </c>
      <c r="G21" s="6"/>
      <c r="H21" t="s">
        <v>170</v>
      </c>
      <c r="I21" t="s">
        <v>224</v>
      </c>
      <c r="J21">
        <f t="shared" si="0"/>
        <v>0</v>
      </c>
    </row>
    <row r="22" spans="1:50" x14ac:dyDescent="0.2">
      <c r="A22" s="2" t="s">
        <v>189</v>
      </c>
      <c r="B22" s="2" t="s">
        <v>220</v>
      </c>
      <c r="C22" t="s">
        <v>230</v>
      </c>
      <c r="D22" s="2">
        <v>2</v>
      </c>
      <c r="E22" s="2">
        <v>202</v>
      </c>
      <c r="F22" s="2">
        <v>1</v>
      </c>
      <c r="G22" s="6"/>
      <c r="H22" t="s">
        <v>170</v>
      </c>
      <c r="I22" t="s">
        <v>224</v>
      </c>
      <c r="J22">
        <f t="shared" si="0"/>
        <v>0</v>
      </c>
    </row>
    <row r="23" spans="1:50" x14ac:dyDescent="0.2">
      <c r="A23" s="2" t="s">
        <v>190</v>
      </c>
      <c r="B23" s="2" t="s">
        <v>220</v>
      </c>
      <c r="C23" t="s">
        <v>229</v>
      </c>
      <c r="D23" s="2">
        <v>2</v>
      </c>
      <c r="E23" s="2">
        <v>203</v>
      </c>
      <c r="F23" s="2">
        <v>1</v>
      </c>
      <c r="G23" s="6"/>
      <c r="H23" t="s">
        <v>170</v>
      </c>
      <c r="I23" t="s">
        <v>224</v>
      </c>
      <c r="J23">
        <f t="shared" si="0"/>
        <v>1</v>
      </c>
      <c r="Y23">
        <v>1</v>
      </c>
      <c r="AM23" t="s">
        <v>221</v>
      </c>
    </row>
    <row r="24" spans="1:50" x14ac:dyDescent="0.2">
      <c r="A24" s="2" t="s">
        <v>191</v>
      </c>
      <c r="B24" s="2" t="s">
        <v>220</v>
      </c>
      <c r="C24" t="s">
        <v>229</v>
      </c>
      <c r="D24" s="2">
        <v>2</v>
      </c>
      <c r="E24" s="2">
        <v>203</v>
      </c>
      <c r="F24" s="2">
        <v>1</v>
      </c>
      <c r="G24" s="6"/>
      <c r="H24" t="s">
        <v>170</v>
      </c>
      <c r="I24" t="s">
        <v>224</v>
      </c>
      <c r="J24">
        <f t="shared" si="0"/>
        <v>1</v>
      </c>
      <c r="Z24">
        <v>1</v>
      </c>
    </row>
    <row r="25" spans="1:50" x14ac:dyDescent="0.2">
      <c r="A25" s="2" t="s">
        <v>192</v>
      </c>
      <c r="B25" s="2" t="s">
        <v>220</v>
      </c>
      <c r="C25" t="s">
        <v>229</v>
      </c>
      <c r="D25" s="2">
        <v>2</v>
      </c>
      <c r="E25" s="2">
        <v>203</v>
      </c>
      <c r="F25" s="2">
        <v>1</v>
      </c>
      <c r="G25" s="6"/>
      <c r="H25" t="s">
        <v>170</v>
      </c>
      <c r="I25" t="s">
        <v>224</v>
      </c>
      <c r="J25">
        <f t="shared" si="0"/>
        <v>7</v>
      </c>
      <c r="Z25">
        <v>5</v>
      </c>
      <c r="AX25">
        <v>2</v>
      </c>
    </row>
    <row r="26" spans="1:50" x14ac:dyDescent="0.2">
      <c r="A26" s="2" t="s">
        <v>193</v>
      </c>
      <c r="B26" s="2" t="s">
        <v>220</v>
      </c>
      <c r="C26" t="s">
        <v>232</v>
      </c>
      <c r="D26" s="2">
        <v>2</v>
      </c>
      <c r="E26" s="2">
        <v>204</v>
      </c>
      <c r="F26" s="2">
        <v>1</v>
      </c>
      <c r="G26" s="6"/>
      <c r="H26" t="s">
        <v>170</v>
      </c>
      <c r="I26" t="s">
        <v>225</v>
      </c>
      <c r="J26">
        <f t="shared" si="0"/>
        <v>5</v>
      </c>
      <c r="Z26">
        <v>4</v>
      </c>
      <c r="AD26">
        <v>1</v>
      </c>
    </row>
    <row r="27" spans="1:50" x14ac:dyDescent="0.2">
      <c r="A27" s="2" t="s">
        <v>194</v>
      </c>
      <c r="B27" s="2" t="s">
        <v>220</v>
      </c>
      <c r="C27" t="s">
        <v>232</v>
      </c>
      <c r="D27" s="2">
        <v>2</v>
      </c>
      <c r="E27" s="2">
        <v>204</v>
      </c>
      <c r="F27" s="2">
        <v>1</v>
      </c>
      <c r="G27" s="6"/>
      <c r="H27" t="s">
        <v>171</v>
      </c>
      <c r="J27">
        <f t="shared" si="0"/>
        <v>51</v>
      </c>
      <c r="Z27">
        <v>51</v>
      </c>
    </row>
    <row r="28" spans="1:50" x14ac:dyDescent="0.2">
      <c r="A28" s="2" t="s">
        <v>195</v>
      </c>
      <c r="B28" s="2" t="s">
        <v>220</v>
      </c>
      <c r="C28" t="s">
        <v>232</v>
      </c>
      <c r="D28" s="2">
        <v>2</v>
      </c>
      <c r="E28" s="2">
        <v>204</v>
      </c>
      <c r="F28" s="2">
        <v>1</v>
      </c>
      <c r="G28" s="6"/>
      <c r="H28" t="s">
        <v>171</v>
      </c>
      <c r="J28">
        <f t="shared" si="0"/>
        <v>25</v>
      </c>
      <c r="Y28">
        <v>1</v>
      </c>
      <c r="AD28">
        <v>24</v>
      </c>
    </row>
    <row r="29" spans="1:50" x14ac:dyDescent="0.2">
      <c r="A29" s="2" t="s">
        <v>196</v>
      </c>
      <c r="B29" s="2" t="s">
        <v>220</v>
      </c>
      <c r="C29" t="s">
        <v>232</v>
      </c>
      <c r="D29" s="2">
        <v>3</v>
      </c>
      <c r="E29" s="2">
        <v>301</v>
      </c>
      <c r="F29" s="2">
        <v>1</v>
      </c>
      <c r="G29" s="6"/>
      <c r="H29" t="s">
        <v>171</v>
      </c>
      <c r="J29">
        <f t="shared" si="0"/>
        <v>44</v>
      </c>
      <c r="AD29">
        <v>44</v>
      </c>
    </row>
    <row r="30" spans="1:50" x14ac:dyDescent="0.2">
      <c r="A30" s="2" t="s">
        <v>197</v>
      </c>
      <c r="B30" s="2" t="s">
        <v>220</v>
      </c>
      <c r="C30" t="s">
        <v>232</v>
      </c>
      <c r="D30" s="2">
        <v>3</v>
      </c>
      <c r="E30" s="2">
        <v>301</v>
      </c>
      <c r="F30" s="2">
        <v>1</v>
      </c>
      <c r="G30" s="6"/>
      <c r="H30" t="s">
        <v>171</v>
      </c>
      <c r="J30">
        <f t="shared" si="0"/>
        <v>14</v>
      </c>
      <c r="Y30">
        <v>1</v>
      </c>
      <c r="AD30">
        <v>12</v>
      </c>
      <c r="AL30">
        <v>1</v>
      </c>
    </row>
    <row r="31" spans="1:50" x14ac:dyDescent="0.2">
      <c r="A31" s="2" t="s">
        <v>198</v>
      </c>
      <c r="B31" s="2" t="s">
        <v>220</v>
      </c>
      <c r="C31" t="s">
        <v>232</v>
      </c>
      <c r="D31" s="2">
        <v>3</v>
      </c>
      <c r="E31" s="2">
        <v>301</v>
      </c>
      <c r="F31" s="2">
        <v>1</v>
      </c>
      <c r="G31" s="6"/>
      <c r="H31" t="s">
        <v>171</v>
      </c>
      <c r="J31">
        <f t="shared" si="0"/>
        <v>13</v>
      </c>
      <c r="AD31">
        <v>13</v>
      </c>
    </row>
    <row r="32" spans="1:50" x14ac:dyDescent="0.2">
      <c r="A32" s="2" t="s">
        <v>199</v>
      </c>
      <c r="B32" s="2" t="s">
        <v>220</v>
      </c>
      <c r="C32" t="s">
        <v>230</v>
      </c>
      <c r="D32" s="2">
        <v>3</v>
      </c>
      <c r="E32" s="2">
        <v>302</v>
      </c>
      <c r="F32" s="2">
        <v>1</v>
      </c>
      <c r="G32" s="6"/>
      <c r="H32" t="s">
        <v>170</v>
      </c>
      <c r="I32" t="s">
        <v>223</v>
      </c>
      <c r="J32">
        <f t="shared" si="0"/>
        <v>0</v>
      </c>
    </row>
    <row r="33" spans="1:63" x14ac:dyDescent="0.2">
      <c r="A33" s="2" t="s">
        <v>200</v>
      </c>
      <c r="B33" s="2" t="s">
        <v>220</v>
      </c>
      <c r="C33" t="s">
        <v>230</v>
      </c>
      <c r="D33" s="2">
        <v>3</v>
      </c>
      <c r="E33" s="2">
        <v>302</v>
      </c>
      <c r="F33" s="2">
        <v>1</v>
      </c>
      <c r="G33" s="6"/>
      <c r="H33" t="s">
        <v>171</v>
      </c>
      <c r="J33">
        <f t="shared" si="0"/>
        <v>3</v>
      </c>
      <c r="AD33">
        <v>3</v>
      </c>
    </row>
    <row r="34" spans="1:63" x14ac:dyDescent="0.2">
      <c r="A34" s="2" t="s">
        <v>201</v>
      </c>
      <c r="B34" s="2" t="s">
        <v>220</v>
      </c>
      <c r="C34" t="s">
        <v>230</v>
      </c>
      <c r="D34" s="2">
        <v>3</v>
      </c>
      <c r="E34" s="2">
        <v>302</v>
      </c>
      <c r="F34" s="2">
        <v>1</v>
      </c>
      <c r="G34" s="6"/>
      <c r="H34" t="s">
        <v>171</v>
      </c>
      <c r="J34">
        <f t="shared" si="0"/>
        <v>1</v>
      </c>
      <c r="Z34">
        <v>1</v>
      </c>
    </row>
    <row r="35" spans="1:63" x14ac:dyDescent="0.2">
      <c r="A35" s="2" t="s">
        <v>202</v>
      </c>
      <c r="B35" s="2" t="s">
        <v>220</v>
      </c>
      <c r="C35" t="s">
        <v>229</v>
      </c>
      <c r="D35" s="2">
        <v>3</v>
      </c>
      <c r="E35" s="2">
        <v>303</v>
      </c>
      <c r="F35" s="2">
        <v>1</v>
      </c>
      <c r="G35" s="6"/>
      <c r="H35" t="s">
        <v>170</v>
      </c>
      <c r="I35" t="s">
        <v>226</v>
      </c>
      <c r="J35">
        <f t="shared" si="0"/>
        <v>0</v>
      </c>
    </row>
    <row r="36" spans="1:63" x14ac:dyDescent="0.2">
      <c r="A36" s="2" t="s">
        <v>203</v>
      </c>
      <c r="B36" s="2" t="s">
        <v>220</v>
      </c>
      <c r="C36" t="s">
        <v>229</v>
      </c>
      <c r="D36" s="2">
        <v>3</v>
      </c>
      <c r="E36" s="2">
        <v>303</v>
      </c>
      <c r="F36" s="2">
        <v>1</v>
      </c>
      <c r="G36" s="6"/>
      <c r="H36" t="s">
        <v>170</v>
      </c>
      <c r="I36" t="s">
        <v>224</v>
      </c>
      <c r="J36">
        <f t="shared" si="0"/>
        <v>2</v>
      </c>
      <c r="Z36">
        <v>1</v>
      </c>
      <c r="AD36">
        <v>1</v>
      </c>
    </row>
    <row r="37" spans="1:63" x14ac:dyDescent="0.2">
      <c r="A37" s="2" t="s">
        <v>204</v>
      </c>
      <c r="B37" s="2" t="s">
        <v>220</v>
      </c>
      <c r="C37" t="s">
        <v>229</v>
      </c>
      <c r="D37" s="2">
        <v>3</v>
      </c>
      <c r="E37" s="2">
        <v>303</v>
      </c>
      <c r="F37" s="2">
        <v>1</v>
      </c>
      <c r="G37" s="6"/>
      <c r="H37" t="s">
        <v>170</v>
      </c>
      <c r="I37" t="s">
        <v>224</v>
      </c>
      <c r="J37">
        <f t="shared" si="0"/>
        <v>0</v>
      </c>
    </row>
    <row r="38" spans="1:63" x14ac:dyDescent="0.2">
      <c r="A38" s="2" t="s">
        <v>205</v>
      </c>
      <c r="B38" s="2" t="s">
        <v>220</v>
      </c>
      <c r="C38" t="s">
        <v>231</v>
      </c>
      <c r="D38" s="2">
        <v>3</v>
      </c>
      <c r="E38" s="2">
        <v>304</v>
      </c>
      <c r="F38" s="2">
        <v>1</v>
      </c>
      <c r="G38" s="6"/>
      <c r="H38" t="s">
        <v>171</v>
      </c>
      <c r="J38">
        <f t="shared" si="0"/>
        <v>0</v>
      </c>
    </row>
    <row r="39" spans="1:63" x14ac:dyDescent="0.2">
      <c r="A39" s="2" t="s">
        <v>206</v>
      </c>
      <c r="B39" s="2" t="s">
        <v>220</v>
      </c>
      <c r="C39" t="s">
        <v>231</v>
      </c>
      <c r="D39" s="2">
        <v>3</v>
      </c>
      <c r="E39" s="2">
        <v>304</v>
      </c>
      <c r="F39" s="2">
        <v>1</v>
      </c>
      <c r="G39" s="6"/>
      <c r="H39" t="s">
        <v>171</v>
      </c>
      <c r="J39">
        <f t="shared" si="0"/>
        <v>2</v>
      </c>
      <c r="Z39">
        <v>1</v>
      </c>
      <c r="AL39">
        <v>1</v>
      </c>
    </row>
    <row r="40" spans="1:63" x14ac:dyDescent="0.2">
      <c r="A40" s="2" t="s">
        <v>207</v>
      </c>
      <c r="B40" s="2" t="s">
        <v>220</v>
      </c>
      <c r="C40" t="s">
        <v>231</v>
      </c>
      <c r="D40" s="2">
        <v>3</v>
      </c>
      <c r="E40" s="2">
        <v>304</v>
      </c>
      <c r="F40" s="2">
        <v>1</v>
      </c>
      <c r="G40" s="6"/>
      <c r="H40" t="s">
        <v>170</v>
      </c>
      <c r="I40" t="s">
        <v>227</v>
      </c>
      <c r="J40">
        <f t="shared" si="0"/>
        <v>0</v>
      </c>
    </row>
    <row r="41" spans="1:63" x14ac:dyDescent="0.2">
      <c r="A41" s="2" t="s">
        <v>208</v>
      </c>
      <c r="B41" s="2" t="s">
        <v>220</v>
      </c>
      <c r="C41" t="s">
        <v>229</v>
      </c>
      <c r="D41" s="2">
        <v>4</v>
      </c>
      <c r="E41" s="2">
        <v>401</v>
      </c>
      <c r="F41" s="2">
        <v>1</v>
      </c>
      <c r="G41" s="6"/>
      <c r="H41" t="s">
        <v>170</v>
      </c>
      <c r="I41" t="s">
        <v>226</v>
      </c>
      <c r="J41">
        <f t="shared" si="0"/>
        <v>3</v>
      </c>
      <c r="Z41">
        <v>1</v>
      </c>
      <c r="AD41">
        <v>2</v>
      </c>
    </row>
    <row r="42" spans="1:63" x14ac:dyDescent="0.2">
      <c r="A42" s="2" t="s">
        <v>209</v>
      </c>
      <c r="B42" s="2" t="s">
        <v>220</v>
      </c>
      <c r="C42" t="s">
        <v>229</v>
      </c>
      <c r="D42" s="2">
        <v>4</v>
      </c>
      <c r="E42" s="2">
        <v>401</v>
      </c>
      <c r="F42" s="2">
        <v>1</v>
      </c>
      <c r="G42" s="6"/>
      <c r="H42" t="s">
        <v>170</v>
      </c>
      <c r="I42" t="s">
        <v>224</v>
      </c>
      <c r="J42">
        <f t="shared" si="0"/>
        <v>29</v>
      </c>
      <c r="AD42">
        <v>29</v>
      </c>
    </row>
    <row r="43" spans="1:63" x14ac:dyDescent="0.2">
      <c r="A43" s="2" t="s">
        <v>210</v>
      </c>
      <c r="B43" s="2" t="s">
        <v>220</v>
      </c>
      <c r="C43" t="s">
        <v>229</v>
      </c>
      <c r="D43" s="2">
        <v>4</v>
      </c>
      <c r="E43" s="2">
        <v>401</v>
      </c>
      <c r="F43" s="2">
        <v>1</v>
      </c>
      <c r="G43" s="6"/>
      <c r="H43" t="s">
        <v>170</v>
      </c>
      <c r="I43" t="s">
        <v>224</v>
      </c>
      <c r="J43">
        <f t="shared" si="0"/>
        <v>49</v>
      </c>
      <c r="AD43">
        <v>49</v>
      </c>
    </row>
    <row r="44" spans="1:63" x14ac:dyDescent="0.2">
      <c r="A44" s="2" t="s">
        <v>211</v>
      </c>
      <c r="B44" s="2" t="s">
        <v>220</v>
      </c>
      <c r="C44" t="s">
        <v>231</v>
      </c>
      <c r="D44" s="2">
        <v>4</v>
      </c>
      <c r="E44" s="2">
        <v>402</v>
      </c>
      <c r="F44" s="2">
        <v>1</v>
      </c>
      <c r="G44" s="6"/>
      <c r="H44" t="s">
        <v>171</v>
      </c>
      <c r="J44">
        <f t="shared" si="0"/>
        <v>15</v>
      </c>
      <c r="AD44">
        <v>15</v>
      </c>
    </row>
    <row r="45" spans="1:63" x14ac:dyDescent="0.2">
      <c r="A45" s="2" t="s">
        <v>212</v>
      </c>
      <c r="B45" s="2" t="s">
        <v>220</v>
      </c>
      <c r="C45" t="s">
        <v>231</v>
      </c>
      <c r="D45" s="2">
        <v>4</v>
      </c>
      <c r="E45" s="2">
        <v>402</v>
      </c>
      <c r="F45" s="2">
        <v>1</v>
      </c>
      <c r="G45" s="6"/>
      <c r="H45" t="s">
        <v>171</v>
      </c>
      <c r="J45">
        <f t="shared" si="0"/>
        <v>2</v>
      </c>
      <c r="AD45">
        <v>2</v>
      </c>
      <c r="BK45">
        <v>2</v>
      </c>
    </row>
    <row r="46" spans="1:63" x14ac:dyDescent="0.2">
      <c r="A46" s="2" t="s">
        <v>213</v>
      </c>
      <c r="B46" s="2" t="s">
        <v>220</v>
      </c>
      <c r="C46" t="s">
        <v>231</v>
      </c>
      <c r="D46" s="2">
        <v>4</v>
      </c>
      <c r="E46" s="2">
        <v>402</v>
      </c>
      <c r="F46" s="2">
        <v>1</v>
      </c>
      <c r="G46" s="6"/>
      <c r="J46">
        <f t="shared" si="0"/>
        <v>0</v>
      </c>
    </row>
    <row r="47" spans="1:63" x14ac:dyDescent="0.2">
      <c r="A47" s="2" t="s">
        <v>214</v>
      </c>
      <c r="B47" s="2" t="s">
        <v>220</v>
      </c>
      <c r="C47" t="s">
        <v>230</v>
      </c>
      <c r="D47" s="2">
        <v>4</v>
      </c>
      <c r="E47" s="2">
        <v>403</v>
      </c>
      <c r="F47" s="2">
        <v>1</v>
      </c>
      <c r="G47" s="6"/>
      <c r="H47" t="s">
        <v>170</v>
      </c>
      <c r="I47" t="s">
        <v>228</v>
      </c>
      <c r="J47">
        <f t="shared" si="0"/>
        <v>0</v>
      </c>
    </row>
    <row r="48" spans="1:63" x14ac:dyDescent="0.2">
      <c r="A48" s="2" t="s">
        <v>215</v>
      </c>
      <c r="B48" s="2" t="s">
        <v>220</v>
      </c>
      <c r="C48" t="s">
        <v>230</v>
      </c>
      <c r="D48" s="2">
        <v>4</v>
      </c>
      <c r="E48" s="2">
        <v>403</v>
      </c>
      <c r="F48" s="2">
        <v>1</v>
      </c>
      <c r="G48" s="6"/>
      <c r="H48" t="s">
        <v>171</v>
      </c>
      <c r="J48">
        <f t="shared" si="0"/>
        <v>3</v>
      </c>
      <c r="AL48">
        <v>2</v>
      </c>
      <c r="BB48">
        <v>1</v>
      </c>
    </row>
    <row r="49" spans="1:30" x14ac:dyDescent="0.2">
      <c r="A49" s="2" t="s">
        <v>216</v>
      </c>
      <c r="B49" s="2" t="s">
        <v>220</v>
      </c>
      <c r="C49" t="s">
        <v>230</v>
      </c>
      <c r="D49" s="2">
        <v>4</v>
      </c>
      <c r="E49" s="2">
        <v>403</v>
      </c>
      <c r="F49" s="2">
        <v>1</v>
      </c>
      <c r="G49" s="6"/>
      <c r="H49" t="s">
        <v>170</v>
      </c>
      <c r="I49" t="s">
        <v>224</v>
      </c>
      <c r="J49">
        <f t="shared" si="0"/>
        <v>0</v>
      </c>
    </row>
    <row r="50" spans="1:30" x14ac:dyDescent="0.2">
      <c r="A50" s="2" t="s">
        <v>217</v>
      </c>
      <c r="B50" s="2" t="s">
        <v>220</v>
      </c>
      <c r="C50" t="s">
        <v>232</v>
      </c>
      <c r="D50" s="2">
        <v>4</v>
      </c>
      <c r="E50" s="2">
        <v>404</v>
      </c>
      <c r="F50" s="2">
        <v>1</v>
      </c>
      <c r="G50" s="6"/>
      <c r="H50" t="s">
        <v>170</v>
      </c>
      <c r="I50" t="s">
        <v>224</v>
      </c>
      <c r="J50">
        <f t="shared" si="0"/>
        <v>0</v>
      </c>
    </row>
    <row r="51" spans="1:30" x14ac:dyDescent="0.2">
      <c r="A51" s="2" t="s">
        <v>218</v>
      </c>
      <c r="B51" s="2" t="s">
        <v>220</v>
      </c>
      <c r="C51" t="s">
        <v>232</v>
      </c>
      <c r="D51" s="2">
        <v>4</v>
      </c>
      <c r="E51" s="2">
        <v>404</v>
      </c>
      <c r="F51" s="2">
        <v>1</v>
      </c>
      <c r="G51" s="6"/>
      <c r="H51" t="s">
        <v>171</v>
      </c>
      <c r="J51">
        <f t="shared" si="0"/>
        <v>26</v>
      </c>
      <c r="Z51">
        <v>5</v>
      </c>
      <c r="AD51">
        <v>21</v>
      </c>
    </row>
    <row r="52" spans="1:30" x14ac:dyDescent="0.2">
      <c r="A52" s="2" t="s">
        <v>219</v>
      </c>
      <c r="B52" s="2" t="s">
        <v>220</v>
      </c>
      <c r="C52" t="s">
        <v>232</v>
      </c>
      <c r="D52" s="2">
        <v>4</v>
      </c>
      <c r="E52" s="2">
        <v>404</v>
      </c>
      <c r="F52" s="2">
        <v>1</v>
      </c>
      <c r="G52" s="6"/>
      <c r="H52" t="s">
        <v>171</v>
      </c>
      <c r="J52">
        <f t="shared" si="0"/>
        <v>1</v>
      </c>
      <c r="Z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2025-11-01T14:57:53Z</dcterms:created>
  <dcterms:modified xsi:type="dcterms:W3CDTF">2025-11-04T21:22:10Z</dcterms:modified>
</cp:coreProperties>
</file>